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Яна\Desktop\"/>
    </mc:Choice>
  </mc:AlternateContent>
  <xr:revisionPtr revIDLastSave="0" documentId="13_ncr:1_{DEF64E27-E237-47C7-8417-7D1FC7618BF2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Инвестиции!$G$18:$G$25</definedName>
    <definedName name="solver_adj" localSheetId="4" hidden="1">Назначения!$C$16:$F$19</definedName>
    <definedName name="solver_adj" localSheetId="0" hidden="1">Опт.План!$B$35:$D$36</definedName>
    <definedName name="solver_adj" localSheetId="2" hidden="1">Тр.Задача!$C$15:$G$18</definedName>
    <definedName name="solver_adj" localSheetId="1" hidden="1">Шт.Расписание!$B$27:$B$33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Инвестиции!$G$18:$G$25</definedName>
    <definedName name="solver_lhs1" localSheetId="4" hidden="1">Назначения!$C$16:$F$19</definedName>
    <definedName name="solver_lhs1" localSheetId="0" hidden="1">Опт.План!$B$35:$D$36</definedName>
    <definedName name="solver_lhs1" localSheetId="2" hidden="1">Тр.Задача!$C$15:$G$18</definedName>
    <definedName name="solver_lhs1" localSheetId="1" hidden="1">Шт.Расписание!$A$27:$A$33</definedName>
    <definedName name="solver_lhs2" localSheetId="3" hidden="1">Инвестиции!$J$20</definedName>
    <definedName name="solver_lhs2" localSheetId="4" hidden="1">Назначения!$C$20:$F$20</definedName>
    <definedName name="solver_lhs2" localSheetId="0" hidden="1">Опт.План!$B$37:$D$37</definedName>
    <definedName name="solver_lhs2" localSheetId="2" hidden="1">Тр.Задача!$C$19:$G$19</definedName>
    <definedName name="solver_lhs2" localSheetId="1" hidden="1">Шт.Расписание!$B$27:$B$33</definedName>
    <definedName name="solver_lhs3" localSheetId="4" hidden="1">Назначения!$G$16:$G$19</definedName>
    <definedName name="solver_lhs3" localSheetId="0" hidden="1">Опт.План!$B$37:$D$37</definedName>
    <definedName name="solver_lhs3" localSheetId="2" hidden="1">Тр.Задача!$H$15:$H$18</definedName>
    <definedName name="solver_lhs4" localSheetId="4" hidden="1">Назначения!$H$16:$H$19</definedName>
    <definedName name="solver_lhs4" localSheetId="0" hidden="1">Опт.План!$B$37:$D$37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2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Инвестиции!$J$21</definedName>
    <definedName name="solver_opt" localSheetId="4" hidden="1">Назначения!$K$17</definedName>
    <definedName name="solver_opt" localSheetId="0" hidden="1">Опт.План!$G$37</definedName>
    <definedName name="solver_opt" localSheetId="2" hidden="1">Тр.Задача!$J$21</definedName>
    <definedName name="solver_opt" localSheetId="1" hidden="1">Шт.Расписание!$D$37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0" hidden="1">1</definedName>
    <definedName name="solver_rel3" localSheetId="2" hidden="1">1</definedName>
    <definedName name="solver_rel4" localSheetId="4" hidden="1">3</definedName>
    <definedName name="solver_rel4" localSheetId="0" hidden="1">1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Инвестиции!$E$18</definedName>
    <definedName name="solver_rhs2" localSheetId="4" hidden="1">1</definedName>
    <definedName name="solver_rhs2" localSheetId="0" hidden="1">Опт.План!$B$30:$D$30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0" hidden="1">Опт.План!$B$30:$D$30</definedName>
    <definedName name="solver_rhs3" localSheetId="2" hidden="1">Тр.Задача!$H$7:$H$10</definedName>
    <definedName name="solver_rhs4" localSheetId="4" hidden="1">Назначения!$I$16</definedName>
    <definedName name="solver_rhs4" localSheetId="0" hidden="1">Опт.План!$B$30:$D$30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6" l="1"/>
  <c r="H18" i="6"/>
  <c r="H19" i="6"/>
  <c r="H16" i="6"/>
  <c r="K17" i="6"/>
  <c r="I16" i="6" s="1"/>
  <c r="G17" i="6"/>
  <c r="G18" i="6"/>
  <c r="G19" i="6"/>
  <c r="G16" i="6"/>
  <c r="D20" i="6"/>
  <c r="E20" i="6"/>
  <c r="F20" i="6"/>
  <c r="C20" i="6"/>
  <c r="J21" i="5"/>
  <c r="J20" i="5"/>
  <c r="J9" i="5"/>
  <c r="J8" i="5"/>
  <c r="J21" i="4"/>
  <c r="H16" i="4"/>
  <c r="H17" i="4"/>
  <c r="H18" i="4"/>
  <c r="H15" i="4"/>
  <c r="D19" i="4"/>
  <c r="E19" i="4"/>
  <c r="F19" i="4"/>
  <c r="G19" i="4"/>
  <c r="C19" i="4"/>
  <c r="D37" i="3"/>
  <c r="A33" i="3"/>
  <c r="A32" i="3"/>
  <c r="A31" i="3"/>
  <c r="A30" i="3"/>
  <c r="A29" i="3"/>
  <c r="A28" i="3"/>
  <c r="A27" i="3"/>
  <c r="H15" i="3"/>
  <c r="E11" i="3"/>
  <c r="E10" i="3"/>
  <c r="E9" i="3"/>
  <c r="E8" i="3"/>
  <c r="E7" i="3"/>
  <c r="E6" i="3"/>
  <c r="E5" i="3"/>
  <c r="C37" i="2"/>
  <c r="D37" i="2"/>
  <c r="B37" i="2"/>
  <c r="E36" i="2"/>
  <c r="E35" i="2"/>
  <c r="C21" i="2"/>
  <c r="D21" i="2"/>
  <c r="B21" i="2"/>
  <c r="E20" i="2"/>
  <c r="E19" i="2"/>
  <c r="G37" i="2" l="1"/>
  <c r="G21" i="2"/>
</calcChain>
</file>

<file path=xl/sharedStrings.xml><?xml version="1.0" encoding="utf-8"?>
<sst xmlns="http://schemas.openxmlformats.org/spreadsheetml/2006/main" count="141" uniqueCount="65">
  <si>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</si>
  <si>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</si>
  <si>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</si>
  <si>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</si>
  <si>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</si>
  <si>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</si>
  <si>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</si>
  <si>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</si>
  <si>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</si>
  <si>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</si>
  <si>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</si>
  <si>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</si>
  <si>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</si>
  <si>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</si>
  <si>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</si>
  <si>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</si>
  <si>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</si>
  <si>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</si>
  <si>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</si>
  <si>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</si>
  <si>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</si>
  <si>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</si>
  <si>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</si>
  <si>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</si>
  <si>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</si>
  <si>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</si>
  <si>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</si>
  <si>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</si>
  <si>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</si>
  <si>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</si>
  <si>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</si>
  <si>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</si>
  <si>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</si>
  <si>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</si>
  <si>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</si>
  <si>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</si>
  <si>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</si>
  <si>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</si>
  <si>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</si>
  <si>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</si>
  <si>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</si>
  <si>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</si>
  <si>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</si>
  <si>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</si>
  <si>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</si>
  <si>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</si>
  <si>
    <t>Целевая функция</t>
  </si>
  <si>
    <t>Факт</t>
  </si>
  <si>
    <t>Кол-во</t>
  </si>
  <si>
    <t>Бригада</t>
  </si>
  <si>
    <t>Выходные</t>
  </si>
  <si>
    <t>понедельник,вторник</t>
  </si>
  <si>
    <t>вторник,среда</t>
  </si>
  <si>
    <t>среда,четверг</t>
  </si>
  <si>
    <t>четверг,пятница</t>
  </si>
  <si>
    <t>пятница,суббота</t>
  </si>
  <si>
    <t>суббота,воскресенье</t>
  </si>
  <si>
    <t>воскресенье,понедельник</t>
  </si>
  <si>
    <t>Участие</t>
  </si>
  <si>
    <t>Затраты</t>
  </si>
  <si>
    <t>Прибыль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</si>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</sst>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5" borderId="1" xfId="0" applyFont="1" applyFill="1" applyBorder="1"/>
    <xf numFmtId="164" fontId="0" fillId="2" borderId="0" xfId="2" applyNumberFormat="1" applyFont="1" applyFill="1"/>
    <xf numFmtId="0" fontId="0" fillId="6" borderId="0" xfId="0" applyFill="1"/>
    <xf numFmtId="0" fontId="0" fillId="5" borderId="1" xfId="0" applyFill="1" applyBorder="1"/>
    <xf numFmtId="164" fontId="0" fillId="7" borderId="0" xfId="2" applyNumberFormat="1" applyFont="1" applyFill="1"/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8" borderId="0" xfId="0" applyFill="1"/>
    <xf numFmtId="0" fontId="2" fillId="0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10" borderId="1" xfId="0" applyFill="1" applyBorder="1"/>
    <xf numFmtId="1" fontId="0" fillId="6" borderId="0" xfId="0" applyNumberFormat="1" applyFill="1"/>
    <xf numFmtId="0" fontId="0" fillId="6" borderId="1" xfId="0" applyFill="1" applyBorder="1"/>
    <xf numFmtId="0" fontId="0" fillId="2" borderId="0" xfId="0" applyFill="1"/>
    <xf numFmtId="0" fontId="0" fillId="11" borderId="0" xfId="0" applyFill="1"/>
    <xf numFmtId="0" fontId="3" fillId="4" borderId="11" xfId="0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184150</xdr:colOff>
      <xdr:row>4</xdr:row>
      <xdr:rowOff>154940</xdr:rowOff>
    </xdr:from>
    <xdr:to>
      <xdr:col>17</xdr:col>
      <xdr:colOff>184150</xdr:colOff>
      <xdr:row>24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3050" y="1488440"/>
          <a:ext cx="4876800" cy="352806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487242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12</xdr:col>
      <xdr:colOff>548640</xdr:colOff>
      <xdr:row>0</xdr:row>
      <xdr:rowOff>12700</xdr:rowOff>
    </xdr:from>
    <xdr:to>
      <xdr:col>19</xdr:col>
      <xdr:colOff>381000</xdr:colOff>
      <xdr:row>16</xdr:row>
      <xdr:rowOff>12700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0232390" y="12700"/>
          <a:ext cx="4099560" cy="337185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15</xdr:col>
      <xdr:colOff>215900</xdr:colOff>
      <xdr:row>0</xdr:row>
      <xdr:rowOff>406400</xdr:rowOff>
    </xdr:from>
    <xdr:to>
      <xdr:col>22</xdr:col>
      <xdr:colOff>215900</xdr:colOff>
      <xdr:row>9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0464800" y="406400"/>
          <a:ext cx="4267200" cy="17145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178632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22</xdr:col>
      <xdr:colOff>0</xdr:colOff>
      <xdr:row>15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8534400" y="609600"/>
          <a:ext cx="4876800" cy="2616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opLeftCell="A4" workbookViewId="0">
      <selection activeCell="D20" sqref="D20"/>
    </sheetView>
  </sheetViews>
  <sheetFormatPr defaultRowHeight="14.5" x14ac:dyDescent="0.35"/>
  <cols>
    <col min="1" max="1" width="27.81640625" customWidth="1"/>
    <col min="5" max="5" width="14.1796875" customWidth="1"/>
    <col min="7" max="7" width="25.54296875" customWidth="1"/>
  </cols>
  <sheetData>
    <row r="1" spans="1:15" s="1" customFormat="1" ht="48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5">
      <c r="A2" s="11" t="s">
        <v>12</v>
      </c>
    </row>
    <row r="3" spans="1:15" s="1" customFormat="1" x14ac:dyDescent="0.35">
      <c r="E3" s="7" t="s">
        <v>9</v>
      </c>
    </row>
    <row r="4" spans="1:15" x14ac:dyDescent="0.35">
      <c r="A4" s="29" t="s">
        <v>0</v>
      </c>
      <c r="B4" s="30" t="s">
        <v>1</v>
      </c>
      <c r="C4" s="30"/>
      <c r="D4" s="30"/>
      <c r="E4" s="30" t="s">
        <v>2</v>
      </c>
    </row>
    <row r="5" spans="1:15" x14ac:dyDescent="0.35">
      <c r="A5" s="29"/>
      <c r="B5" s="3" t="s">
        <v>3</v>
      </c>
      <c r="C5" s="3" t="s">
        <v>4</v>
      </c>
      <c r="D5" s="3" t="s">
        <v>5</v>
      </c>
      <c r="E5" s="30"/>
    </row>
    <row r="6" spans="1:15" x14ac:dyDescent="0.35">
      <c r="A6" s="3" t="s">
        <v>6</v>
      </c>
      <c r="B6" s="4">
        <v>7.0000000000000007E-2</v>
      </c>
      <c r="C6" s="8">
        <v>1.6E-2</v>
      </c>
      <c r="D6" s="8">
        <v>2.9000000000000001E-2</v>
      </c>
      <c r="E6" s="3">
        <v>110</v>
      </c>
    </row>
    <row r="7" spans="1:15" x14ac:dyDescent="0.35">
      <c r="A7" s="3" t="s">
        <v>7</v>
      </c>
      <c r="B7" s="4">
        <v>0.05</v>
      </c>
      <c r="C7" s="8">
        <v>6.3E-2</v>
      </c>
      <c r="D7" s="8">
        <v>5.8000000000000003E-2</v>
      </c>
      <c r="E7" s="3">
        <v>360</v>
      </c>
    </row>
    <row r="8" spans="1:15" x14ac:dyDescent="0.35">
      <c r="A8" s="3" t="s">
        <v>8</v>
      </c>
      <c r="B8" s="5">
        <v>0.96</v>
      </c>
      <c r="C8" s="5">
        <v>0.81</v>
      </c>
      <c r="D8" s="5">
        <v>1</v>
      </c>
      <c r="E8" s="6"/>
    </row>
    <row r="11" spans="1:15" x14ac:dyDescent="0.35">
      <c r="E11" s="7" t="s">
        <v>10</v>
      </c>
    </row>
    <row r="12" spans="1:15" ht="16.5" x14ac:dyDescent="0.35">
      <c r="A12" s="31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5">
      <c r="A13" s="32"/>
      <c r="B13" s="3">
        <v>120</v>
      </c>
      <c r="C13" s="3">
        <v>170</v>
      </c>
      <c r="D13" s="3">
        <v>330</v>
      </c>
      <c r="E13" s="3">
        <v>620</v>
      </c>
    </row>
    <row r="17" spans="1:7" x14ac:dyDescent="0.35">
      <c r="A17" s="29" t="s">
        <v>0</v>
      </c>
      <c r="B17" s="30" t="s">
        <v>1</v>
      </c>
      <c r="C17" s="30"/>
      <c r="D17" s="30"/>
    </row>
    <row r="18" spans="1:7" x14ac:dyDescent="0.35">
      <c r="A18" s="29"/>
      <c r="B18" s="20" t="s">
        <v>3</v>
      </c>
      <c r="C18" s="20" t="s">
        <v>4</v>
      </c>
      <c r="D18" s="20" t="s">
        <v>5</v>
      </c>
    </row>
    <row r="19" spans="1:7" x14ac:dyDescent="0.35">
      <c r="A19" s="20" t="s">
        <v>6</v>
      </c>
      <c r="B19" s="37">
        <v>0</v>
      </c>
      <c r="C19" s="37">
        <v>50</v>
      </c>
      <c r="D19" s="37">
        <v>0</v>
      </c>
      <c r="E19">
        <f>SUM(B19:D19)</f>
        <v>50</v>
      </c>
    </row>
    <row r="20" spans="1:7" x14ac:dyDescent="0.35">
      <c r="A20" s="20" t="s">
        <v>7</v>
      </c>
      <c r="B20" s="37">
        <v>19</v>
      </c>
      <c r="C20" s="37">
        <v>0</v>
      </c>
      <c r="D20" s="37">
        <v>17</v>
      </c>
      <c r="E20">
        <f>SUM(B20:D20)</f>
        <v>36</v>
      </c>
      <c r="G20" t="s">
        <v>46</v>
      </c>
    </row>
    <row r="21" spans="1:7" x14ac:dyDescent="0.35">
      <c r="B21" s="38">
        <f>SUMPRODUCT(B19:B20,B6:B7)</f>
        <v>0.95000000000000007</v>
      </c>
      <c r="C21" s="38">
        <f t="shared" ref="C21:D21" si="0">SUMPRODUCT(C19:C20,C6:C7)</f>
        <v>0.8</v>
      </c>
      <c r="D21" s="38">
        <f t="shared" si="0"/>
        <v>0.9860000000000001</v>
      </c>
      <c r="G21" s="39">
        <f>SUMPRODUCT(E19:E20,E6:E7)</f>
        <v>18460</v>
      </c>
    </row>
    <row r="26" spans="1:7" x14ac:dyDescent="0.35">
      <c r="A26" s="29" t="s">
        <v>0</v>
      </c>
      <c r="B26" s="30" t="s">
        <v>1</v>
      </c>
      <c r="C26" s="30"/>
      <c r="D26" s="30"/>
      <c r="E26" s="30" t="s">
        <v>2</v>
      </c>
    </row>
    <row r="27" spans="1:7" x14ac:dyDescent="0.35">
      <c r="A27" s="29"/>
      <c r="B27" s="20" t="s">
        <v>3</v>
      </c>
      <c r="C27" s="20" t="s">
        <v>4</v>
      </c>
      <c r="D27" s="20" t="s">
        <v>5</v>
      </c>
      <c r="E27" s="30"/>
    </row>
    <row r="28" spans="1:7" x14ac:dyDescent="0.35">
      <c r="A28" s="20" t="s">
        <v>6</v>
      </c>
      <c r="B28" s="4">
        <v>7.0000000000000007E-2</v>
      </c>
      <c r="C28" s="8">
        <v>1.6E-2</v>
      </c>
      <c r="D28" s="8">
        <v>2.9000000000000001E-2</v>
      </c>
      <c r="E28" s="20">
        <v>150</v>
      </c>
    </row>
    <row r="29" spans="1:7" x14ac:dyDescent="0.35">
      <c r="A29" s="20" t="s">
        <v>7</v>
      </c>
      <c r="B29" s="4">
        <v>0.05</v>
      </c>
      <c r="C29" s="8">
        <v>6.3E-2</v>
      </c>
      <c r="D29" s="8">
        <v>5.8000000000000003E-2</v>
      </c>
      <c r="E29" s="20">
        <v>360</v>
      </c>
    </row>
    <row r="30" spans="1:7" x14ac:dyDescent="0.35">
      <c r="A30" s="20" t="s">
        <v>8</v>
      </c>
      <c r="B30" s="5">
        <v>0.96</v>
      </c>
      <c r="C30" s="5">
        <v>0.81</v>
      </c>
      <c r="D30" s="5">
        <v>1</v>
      </c>
      <c r="E30" s="6"/>
    </row>
    <row r="33" spans="1:7" x14ac:dyDescent="0.35">
      <c r="A33" s="29" t="s">
        <v>0</v>
      </c>
      <c r="B33" s="30" t="s">
        <v>1</v>
      </c>
      <c r="C33" s="30"/>
      <c r="D33" s="30"/>
    </row>
    <row r="34" spans="1:7" x14ac:dyDescent="0.35">
      <c r="A34" s="29"/>
      <c r="B34" s="20" t="s">
        <v>3</v>
      </c>
      <c r="C34" s="20" t="s">
        <v>4</v>
      </c>
      <c r="D34" s="20" t="s">
        <v>5</v>
      </c>
    </row>
    <row r="35" spans="1:7" x14ac:dyDescent="0.35">
      <c r="A35" s="20" t="s">
        <v>6</v>
      </c>
      <c r="B35" s="40">
        <v>0</v>
      </c>
      <c r="C35" s="40">
        <v>50</v>
      </c>
      <c r="D35" s="40">
        <v>0</v>
      </c>
      <c r="E35">
        <f>SUM(B35:D35)</f>
        <v>50</v>
      </c>
    </row>
    <row r="36" spans="1:7" x14ac:dyDescent="0.35">
      <c r="A36" s="20" t="s">
        <v>7</v>
      </c>
      <c r="B36" s="40">
        <v>19</v>
      </c>
      <c r="C36" s="40">
        <v>0</v>
      </c>
      <c r="D36" s="40">
        <v>17</v>
      </c>
      <c r="E36">
        <f>SUM(B36:D36)</f>
        <v>36</v>
      </c>
      <c r="G36" t="s">
        <v>46</v>
      </c>
    </row>
    <row r="37" spans="1:7" x14ac:dyDescent="0.35">
      <c r="B37" s="41">
        <f>SUMPRODUCT(B35:B36,B28:B29)</f>
        <v>0.95000000000000007</v>
      </c>
      <c r="C37" s="41">
        <f t="shared" ref="C37:D37" si="1">SUMPRODUCT(C35:C36,C28:C29)</f>
        <v>0.8</v>
      </c>
      <c r="D37" s="41">
        <f t="shared" si="1"/>
        <v>0.9860000000000001</v>
      </c>
      <c r="G37" s="39">
        <f>SUMPRODUCT(E35:E36,E28:E29)</f>
        <v>20460</v>
      </c>
    </row>
  </sheetData>
  <mergeCells count="11">
    <mergeCell ref="A33:A34"/>
    <mergeCell ref="B33:D33"/>
    <mergeCell ref="A26:A27"/>
    <mergeCell ref="B26:D26"/>
    <mergeCell ref="E26:E27"/>
    <mergeCell ref="A4:A5"/>
    <mergeCell ref="B4:D4"/>
    <mergeCell ref="E4:E5"/>
    <mergeCell ref="A12:A13"/>
    <mergeCell ref="A17:A18"/>
    <mergeCell ref="B17:D17"/>
  </mergeCells>
  <phoneticPr fontId="7" type="noConversion"/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topLeftCell="A4" workbookViewId="0">
      <selection activeCell="B30" sqref="B30"/>
    </sheetView>
  </sheetViews>
  <sheetFormatPr defaultRowHeight="14.5" x14ac:dyDescent="0.35"/>
  <cols>
    <col min="1" max="1" width="17.08984375" customWidth="1"/>
    <col min="2" max="2" width="21.54296875" customWidth="1"/>
    <col min="3" max="3" width="16.90625" customWidth="1"/>
    <col min="4" max="4" width="24.36328125" customWidth="1"/>
    <col min="5" max="5" width="14.1796875" customWidth="1"/>
    <col min="8" max="8" width="27.7265625" customWidth="1"/>
  </cols>
  <sheetData>
    <row r="1" spans="1:14" s="1" customFormat="1" ht="48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5">
      <c r="A2" s="11" t="s">
        <v>12</v>
      </c>
    </row>
    <row r="3" spans="1:14" s="1" customFormat="1" x14ac:dyDescent="0.35">
      <c r="A3" s="7" t="s">
        <v>9</v>
      </c>
    </row>
    <row r="4" spans="1:14" ht="28" x14ac:dyDescent="0.35">
      <c r="A4" s="12" t="s">
        <v>24</v>
      </c>
      <c r="B4" s="12" t="s">
        <v>25</v>
      </c>
      <c r="C4" s="9" t="s">
        <v>26</v>
      </c>
      <c r="D4" s="13"/>
      <c r="E4" s="13" t="s">
        <v>47</v>
      </c>
      <c r="F4" s="42" t="s">
        <v>48</v>
      </c>
      <c r="G4" s="42" t="s">
        <v>49</v>
      </c>
      <c r="H4" s="42" t="s">
        <v>50</v>
      </c>
    </row>
    <row r="5" spans="1:14" x14ac:dyDescent="0.35">
      <c r="A5" s="14"/>
      <c r="B5" s="14" t="s">
        <v>17</v>
      </c>
      <c r="C5" s="10">
        <v>18</v>
      </c>
      <c r="D5" s="13"/>
      <c r="E5" s="43">
        <f>F6+F7+F8+F9+F10</f>
        <v>18</v>
      </c>
      <c r="F5" s="44">
        <v>3</v>
      </c>
      <c r="G5">
        <v>1</v>
      </c>
      <c r="H5" t="s">
        <v>51</v>
      </c>
    </row>
    <row r="6" spans="1:14" x14ac:dyDescent="0.35">
      <c r="A6" s="14"/>
      <c r="B6" s="14" t="s">
        <v>18</v>
      </c>
      <c r="C6" s="10">
        <v>10</v>
      </c>
      <c r="D6" s="13"/>
      <c r="E6" s="43">
        <f>F7+F8+F9+F10+F11</f>
        <v>11</v>
      </c>
      <c r="F6" s="44">
        <v>11</v>
      </c>
      <c r="G6">
        <v>2</v>
      </c>
      <c r="H6" t="s">
        <v>52</v>
      </c>
    </row>
    <row r="7" spans="1:14" x14ac:dyDescent="0.35">
      <c r="A7" s="14"/>
      <c r="B7" s="14" t="s">
        <v>19</v>
      </c>
      <c r="C7" s="10">
        <v>12</v>
      </c>
      <c r="D7" s="13"/>
      <c r="E7" s="43">
        <f>F5+F8+F9+F10+F11</f>
        <v>13</v>
      </c>
      <c r="F7" s="44">
        <v>1</v>
      </c>
      <c r="G7">
        <v>3</v>
      </c>
      <c r="H7" t="s">
        <v>53</v>
      </c>
    </row>
    <row r="8" spans="1:14" x14ac:dyDescent="0.35">
      <c r="A8" s="14"/>
      <c r="B8" s="14" t="s">
        <v>20</v>
      </c>
      <c r="C8" s="10">
        <v>17</v>
      </c>
      <c r="D8" s="13"/>
      <c r="E8" s="43">
        <f>F5+F6+F9+F10+F11</f>
        <v>19</v>
      </c>
      <c r="F8" s="44">
        <v>5</v>
      </c>
      <c r="G8">
        <v>4</v>
      </c>
      <c r="H8" t="s">
        <v>54</v>
      </c>
    </row>
    <row r="9" spans="1:14" x14ac:dyDescent="0.35">
      <c r="A9" s="14"/>
      <c r="B9" s="14" t="s">
        <v>21</v>
      </c>
      <c r="C9" s="10">
        <v>21</v>
      </c>
      <c r="D9" s="13"/>
      <c r="E9" s="43">
        <f>F5+F6+F7+F10+F11</f>
        <v>21</v>
      </c>
      <c r="F9" s="44">
        <v>-1</v>
      </c>
      <c r="G9">
        <v>5</v>
      </c>
      <c r="H9" t="s">
        <v>55</v>
      </c>
    </row>
    <row r="10" spans="1:14" x14ac:dyDescent="0.35">
      <c r="A10" s="14"/>
      <c r="B10" s="14" t="s">
        <v>22</v>
      </c>
      <c r="C10" s="10">
        <v>24</v>
      </c>
      <c r="D10" s="13"/>
      <c r="E10" s="43">
        <f>F5+F6+F7+F8+F11</f>
        <v>24</v>
      </c>
      <c r="F10" s="44">
        <v>2</v>
      </c>
      <c r="G10">
        <v>6</v>
      </c>
      <c r="H10" t="s">
        <v>56</v>
      </c>
    </row>
    <row r="11" spans="1:14" x14ac:dyDescent="0.35">
      <c r="A11" s="14"/>
      <c r="B11" s="14" t="s">
        <v>23</v>
      </c>
      <c r="C11" s="10">
        <v>19</v>
      </c>
      <c r="D11" s="13"/>
      <c r="E11" s="43">
        <f>F5+F6+F7+F8+F9</f>
        <v>19</v>
      </c>
      <c r="F11" s="44">
        <v>4</v>
      </c>
      <c r="G11">
        <v>7</v>
      </c>
      <c r="H11" t="s">
        <v>57</v>
      </c>
    </row>
    <row r="12" spans="1:14" x14ac:dyDescent="0.35">
      <c r="A12" s="13"/>
      <c r="B12" s="13"/>
      <c r="C12" s="13"/>
      <c r="D12" s="13"/>
      <c r="E12" s="13"/>
    </row>
    <row r="13" spans="1:14" x14ac:dyDescent="0.35">
      <c r="A13" s="7" t="s">
        <v>13</v>
      </c>
      <c r="B13" s="13"/>
      <c r="C13" s="13"/>
      <c r="D13" s="13"/>
      <c r="E13" s="13"/>
    </row>
    <row r="14" spans="1:14" x14ac:dyDescent="0.35">
      <c r="A14" s="12" t="s">
        <v>14</v>
      </c>
      <c r="B14" s="12" t="s">
        <v>15</v>
      </c>
      <c r="C14" s="9" t="s">
        <v>16</v>
      </c>
      <c r="H14" s="1" t="s">
        <v>46</v>
      </c>
    </row>
    <row r="15" spans="1:14" x14ac:dyDescent="0.35">
      <c r="A15" s="15"/>
      <c r="B15" s="14" t="s">
        <v>17</v>
      </c>
      <c r="C15" s="10">
        <v>2100</v>
      </c>
      <c r="H15" s="39">
        <f>SUM(F5:F11)</f>
        <v>25</v>
      </c>
    </row>
    <row r="16" spans="1:14" x14ac:dyDescent="0.35">
      <c r="A16" s="15"/>
      <c r="B16" s="14" t="s">
        <v>18</v>
      </c>
      <c r="C16" s="10">
        <v>2300</v>
      </c>
    </row>
    <row r="17" spans="1:4" x14ac:dyDescent="0.35">
      <c r="A17" s="15"/>
      <c r="B17" s="14" t="s">
        <v>19</v>
      </c>
      <c r="C17" s="10">
        <v>2100</v>
      </c>
    </row>
    <row r="18" spans="1:4" x14ac:dyDescent="0.35">
      <c r="A18" s="15"/>
      <c r="B18" s="14" t="s">
        <v>20</v>
      </c>
      <c r="C18" s="10">
        <v>1800</v>
      </c>
    </row>
    <row r="19" spans="1:4" x14ac:dyDescent="0.35">
      <c r="A19" s="15"/>
      <c r="B19" s="14" t="s">
        <v>21</v>
      </c>
      <c r="C19" s="10">
        <v>2000</v>
      </c>
    </row>
    <row r="20" spans="1:4" x14ac:dyDescent="0.35">
      <c r="A20" s="15"/>
      <c r="B20" s="14" t="s">
        <v>22</v>
      </c>
      <c r="C20" s="10">
        <v>2600</v>
      </c>
    </row>
    <row r="21" spans="1:4" x14ac:dyDescent="0.35">
      <c r="A21" s="15"/>
      <c r="B21" s="14" t="s">
        <v>23</v>
      </c>
      <c r="C21" s="10">
        <v>2700</v>
      </c>
    </row>
    <row r="26" spans="1:4" ht="28" x14ac:dyDescent="0.35">
      <c r="A26" s="12" t="s">
        <v>47</v>
      </c>
      <c r="B26" s="45" t="s">
        <v>48</v>
      </c>
      <c r="C26" s="45" t="s">
        <v>49</v>
      </c>
      <c r="D26" s="45" t="s">
        <v>50</v>
      </c>
    </row>
    <row r="27" spans="1:4" x14ac:dyDescent="0.35">
      <c r="A27" s="46">
        <f>B29+B30+B31+B32+B33</f>
        <v>31</v>
      </c>
      <c r="B27" s="40">
        <v>6</v>
      </c>
      <c r="C27" s="15">
        <v>1</v>
      </c>
      <c r="D27" s="15" t="s">
        <v>51</v>
      </c>
    </row>
    <row r="28" spans="1:4" x14ac:dyDescent="0.35">
      <c r="A28" s="46">
        <f>B29+B30+B31+B32+B33</f>
        <v>31</v>
      </c>
      <c r="B28" s="40">
        <v>5</v>
      </c>
      <c r="C28" s="15">
        <v>2</v>
      </c>
      <c r="D28" s="15" t="s">
        <v>52</v>
      </c>
    </row>
    <row r="29" spans="1:4" x14ac:dyDescent="0.35">
      <c r="A29" s="46">
        <f>B27+B30+B31+B32+B33</f>
        <v>31</v>
      </c>
      <c r="B29" s="40">
        <v>6</v>
      </c>
      <c r="C29" s="15">
        <v>3</v>
      </c>
      <c r="D29" s="15" t="s">
        <v>53</v>
      </c>
    </row>
    <row r="30" spans="1:4" x14ac:dyDescent="0.35">
      <c r="A30" s="46">
        <f>B27+B28+B31+B32+B33</f>
        <v>30</v>
      </c>
      <c r="B30" s="40">
        <v>6</v>
      </c>
      <c r="C30" s="15">
        <v>4</v>
      </c>
      <c r="D30" s="15" t="s">
        <v>54</v>
      </c>
    </row>
    <row r="31" spans="1:4" x14ac:dyDescent="0.35">
      <c r="A31" s="46">
        <f>B27+B28+B29+B32+B33</f>
        <v>30</v>
      </c>
      <c r="B31" s="40">
        <v>6</v>
      </c>
      <c r="C31" s="15">
        <v>5</v>
      </c>
      <c r="D31" s="15" t="s">
        <v>55</v>
      </c>
    </row>
    <row r="32" spans="1:4" x14ac:dyDescent="0.35">
      <c r="A32" s="46">
        <f>B27+B28+B29+B30+B33</f>
        <v>30</v>
      </c>
      <c r="B32" s="40">
        <v>6</v>
      </c>
      <c r="C32" s="15">
        <v>6</v>
      </c>
      <c r="D32" s="15" t="s">
        <v>56</v>
      </c>
    </row>
    <row r="33" spans="1:4" x14ac:dyDescent="0.35">
      <c r="A33" s="46">
        <f>B27+B28+B29+B30+B31</f>
        <v>29</v>
      </c>
      <c r="B33" s="40">
        <v>7</v>
      </c>
      <c r="C33" s="15">
        <v>7</v>
      </c>
      <c r="D33" s="15" t="s">
        <v>57</v>
      </c>
    </row>
    <row r="36" spans="1:4" x14ac:dyDescent="0.35">
      <c r="D36" t="s">
        <v>46</v>
      </c>
    </row>
    <row r="37" spans="1:4" x14ac:dyDescent="0.35">
      <c r="D37" s="39">
        <f>SUMPRODUCT(E5:E11,C15:C21)</f>
        <v>280300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J23" sqref="J23"/>
    </sheetView>
  </sheetViews>
  <sheetFormatPr defaultRowHeight="14.5" x14ac:dyDescent="0.35"/>
  <cols>
    <col min="1" max="1" width="6.36328125" customWidth="1"/>
    <col min="2" max="2" width="17.1796875" customWidth="1"/>
    <col min="3" max="7" width="14.36328125" customWidth="1"/>
    <col min="8" max="8" width="8.36328125" customWidth="1"/>
    <col min="10" max="10" width="19.08984375" customWidth="1"/>
  </cols>
  <sheetData>
    <row r="1" spans="1:14" s="1" customFormat="1" ht="48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5">
      <c r="A2" s="11" t="s">
        <v>12</v>
      </c>
    </row>
    <row r="3" spans="1:14" s="1" customFormat="1" x14ac:dyDescent="0.35">
      <c r="A3" s="7"/>
    </row>
    <row r="5" spans="1:14" x14ac:dyDescent="0.35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x14ac:dyDescent="0.35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5">
      <c r="A7" s="14">
        <v>1</v>
      </c>
      <c r="B7" s="14" t="s">
        <v>32</v>
      </c>
      <c r="C7" s="16">
        <v>2</v>
      </c>
      <c r="D7" s="16">
        <v>2.5</v>
      </c>
      <c r="E7" s="16">
        <v>1.75</v>
      </c>
      <c r="F7" s="16">
        <v>2</v>
      </c>
      <c r="G7" s="16">
        <v>2.25</v>
      </c>
      <c r="H7" s="48">
        <v>240</v>
      </c>
    </row>
    <row r="8" spans="1:14" x14ac:dyDescent="0.35">
      <c r="A8" s="14">
        <v>2</v>
      </c>
      <c r="B8" s="14" t="s">
        <v>33</v>
      </c>
      <c r="C8" s="16">
        <v>2.5</v>
      </c>
      <c r="D8" s="16">
        <v>2.25</v>
      </c>
      <c r="E8" s="16">
        <v>1.5</v>
      </c>
      <c r="F8" s="16">
        <v>1.25</v>
      </c>
      <c r="G8" s="16">
        <v>1.75</v>
      </c>
      <c r="H8" s="48">
        <v>130</v>
      </c>
    </row>
    <row r="9" spans="1:14" x14ac:dyDescent="0.35">
      <c r="A9" s="14">
        <v>3</v>
      </c>
      <c r="B9" s="14" t="s">
        <v>34</v>
      </c>
      <c r="C9" s="16">
        <v>2.25</v>
      </c>
      <c r="D9" s="16">
        <v>1.75</v>
      </c>
      <c r="E9" s="16">
        <v>1</v>
      </c>
      <c r="F9" s="16">
        <v>1.25</v>
      </c>
      <c r="G9" s="16">
        <v>1.25</v>
      </c>
      <c r="H9" s="48">
        <v>285</v>
      </c>
    </row>
    <row r="10" spans="1:14" x14ac:dyDescent="0.35">
      <c r="A10" s="14">
        <v>4</v>
      </c>
      <c r="B10" s="14" t="s">
        <v>28</v>
      </c>
      <c r="C10" s="16">
        <v>2</v>
      </c>
      <c r="D10" s="16">
        <v>1</v>
      </c>
      <c r="E10" s="16">
        <v>1.75</v>
      </c>
      <c r="F10" s="16">
        <v>1.5</v>
      </c>
      <c r="G10" s="16">
        <v>2.25</v>
      </c>
      <c r="H10" s="48">
        <v>225</v>
      </c>
    </row>
    <row r="11" spans="1:14" x14ac:dyDescent="0.35">
      <c r="A11" s="14"/>
      <c r="B11" s="14"/>
      <c r="C11" s="47">
        <v>90</v>
      </c>
      <c r="D11" s="47">
        <v>260</v>
      </c>
      <c r="E11" s="47">
        <v>100</v>
      </c>
      <c r="F11" s="47">
        <v>290</v>
      </c>
      <c r="G11" s="47">
        <v>140</v>
      </c>
      <c r="H11" s="16"/>
    </row>
    <row r="13" spans="1:14" x14ac:dyDescent="0.35">
      <c r="B13" s="7" t="s">
        <v>9</v>
      </c>
    </row>
    <row r="14" spans="1:14" x14ac:dyDescent="0.35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5">
      <c r="B15" s="14" t="s">
        <v>32</v>
      </c>
      <c r="C15" s="49">
        <v>90</v>
      </c>
      <c r="D15" s="49">
        <v>0</v>
      </c>
      <c r="E15" s="49">
        <v>96</v>
      </c>
      <c r="F15" s="49">
        <v>54</v>
      </c>
      <c r="G15" s="49">
        <v>0</v>
      </c>
      <c r="H15" s="51">
        <f>SUM(C15:G15)</f>
        <v>240</v>
      </c>
    </row>
    <row r="16" spans="1:14" x14ac:dyDescent="0.35">
      <c r="B16" s="14" t="s">
        <v>33</v>
      </c>
      <c r="C16" s="49">
        <v>0</v>
      </c>
      <c r="D16" s="49">
        <v>0</v>
      </c>
      <c r="E16" s="49">
        <v>0</v>
      </c>
      <c r="F16" s="49">
        <v>130</v>
      </c>
      <c r="G16" s="49">
        <v>0</v>
      </c>
      <c r="H16" s="51">
        <f t="shared" ref="H16:H18" si="0">SUM(C16:G16)</f>
        <v>130</v>
      </c>
    </row>
    <row r="17" spans="2:10" x14ac:dyDescent="0.35">
      <c r="B17" s="14" t="s">
        <v>34</v>
      </c>
      <c r="C17" s="49">
        <v>0</v>
      </c>
      <c r="D17" s="49">
        <v>35</v>
      </c>
      <c r="E17" s="49">
        <v>4</v>
      </c>
      <c r="F17" s="49">
        <v>106</v>
      </c>
      <c r="G17" s="49">
        <v>140</v>
      </c>
      <c r="H17" s="51">
        <f t="shared" si="0"/>
        <v>285</v>
      </c>
    </row>
    <row r="18" spans="2:10" x14ac:dyDescent="0.35">
      <c r="B18" s="14" t="s">
        <v>28</v>
      </c>
      <c r="C18" s="49">
        <v>0</v>
      </c>
      <c r="D18" s="49">
        <v>225</v>
      </c>
      <c r="E18" s="49">
        <v>0</v>
      </c>
      <c r="F18" s="49">
        <v>0</v>
      </c>
      <c r="G18" s="49">
        <v>0</v>
      </c>
      <c r="H18" s="51">
        <f t="shared" si="0"/>
        <v>225</v>
      </c>
    </row>
    <row r="19" spans="2:10" x14ac:dyDescent="0.35">
      <c r="C19" s="50">
        <f>SUM(C15:C18)</f>
        <v>90</v>
      </c>
      <c r="D19" s="50">
        <f t="shared" ref="D19:G19" si="1">SUM(D15:D18)</f>
        <v>260</v>
      </c>
      <c r="E19" s="50">
        <f t="shared" si="1"/>
        <v>100</v>
      </c>
      <c r="F19" s="50">
        <f t="shared" si="1"/>
        <v>290</v>
      </c>
      <c r="G19" s="50">
        <f t="shared" si="1"/>
        <v>140</v>
      </c>
    </row>
    <row r="20" spans="2:10" x14ac:dyDescent="0.35">
      <c r="J20" t="s">
        <v>46</v>
      </c>
    </row>
    <row r="21" spans="2:10" x14ac:dyDescent="0.35">
      <c r="J21" s="52">
        <f>SUMPRODUCT(C15:G18,C7:G10)</f>
        <v>1216.25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activeCell="J23" sqref="J23"/>
    </sheetView>
  </sheetViews>
  <sheetFormatPr defaultRowHeight="14.5" x14ac:dyDescent="0.35"/>
  <cols>
    <col min="2" max="3" width="16.6328125" customWidth="1"/>
    <col min="10" max="10" width="23.7265625" customWidth="1"/>
  </cols>
  <sheetData>
    <row r="1" spans="1:10" s="1" customFormat="1" ht="48" customHeight="1" x14ac:dyDescent="0.35">
      <c r="A1" s="2"/>
      <c r="B1" s="2"/>
      <c r="C1" s="2"/>
      <c r="D1" s="2"/>
      <c r="E1" s="2"/>
      <c r="F1" s="2"/>
      <c r="G1" s="2"/>
      <c r="H1" s="2"/>
    </row>
    <row r="2" spans="1:10" x14ac:dyDescent="0.35">
      <c r="A2" s="11" t="s">
        <v>12</v>
      </c>
    </row>
    <row r="4" spans="1:10" x14ac:dyDescent="0.35">
      <c r="A4" s="7" t="s">
        <v>9</v>
      </c>
      <c r="E4" s="7" t="s">
        <v>35</v>
      </c>
    </row>
    <row r="5" spans="1:10" x14ac:dyDescent="0.35">
      <c r="A5" s="14" t="s">
        <v>36</v>
      </c>
      <c r="B5" s="14" t="s">
        <v>37</v>
      </c>
      <c r="C5" s="14" t="s">
        <v>38</v>
      </c>
      <c r="E5" s="21" t="s">
        <v>39</v>
      </c>
      <c r="G5" t="s">
        <v>58</v>
      </c>
    </row>
    <row r="6" spans="1:10" x14ac:dyDescent="0.35">
      <c r="A6" s="14">
        <v>1</v>
      </c>
      <c r="B6" s="14">
        <v>22400</v>
      </c>
      <c r="C6" s="14">
        <v>8900</v>
      </c>
      <c r="E6" s="17">
        <v>49000</v>
      </c>
      <c r="G6" s="40">
        <v>0</v>
      </c>
    </row>
    <row r="7" spans="1:10" x14ac:dyDescent="0.35">
      <c r="A7" s="14">
        <v>2</v>
      </c>
      <c r="B7" s="14">
        <v>15200</v>
      </c>
      <c r="C7" s="14">
        <v>7000</v>
      </c>
      <c r="E7" s="17">
        <v>82000</v>
      </c>
      <c r="G7" s="40">
        <v>1</v>
      </c>
    </row>
    <row r="8" spans="1:10" x14ac:dyDescent="0.35">
      <c r="A8" s="14">
        <v>3</v>
      </c>
      <c r="B8" s="14">
        <v>12000</v>
      </c>
      <c r="C8" s="14">
        <v>4600</v>
      </c>
      <c r="G8" s="40">
        <v>1</v>
      </c>
      <c r="I8" t="s">
        <v>59</v>
      </c>
      <c r="J8" s="15">
        <f>SUMPRODUCT(G6:G13,B6:B13)</f>
        <v>48400</v>
      </c>
    </row>
    <row r="9" spans="1:10" x14ac:dyDescent="0.35">
      <c r="A9" s="14">
        <v>4</v>
      </c>
      <c r="B9" s="14">
        <v>10300</v>
      </c>
      <c r="C9" s="14">
        <v>4100</v>
      </c>
      <c r="G9" s="40">
        <v>0</v>
      </c>
      <c r="I9" t="s">
        <v>60</v>
      </c>
      <c r="J9" s="53">
        <f>SUMPRODUCT(G6:G13,C6:C13)</f>
        <v>21400</v>
      </c>
    </row>
    <row r="10" spans="1:10" x14ac:dyDescent="0.35">
      <c r="A10" s="14">
        <v>5</v>
      </c>
      <c r="B10" s="14">
        <v>8400</v>
      </c>
      <c r="C10" s="14">
        <v>3500</v>
      </c>
      <c r="G10" s="40">
        <v>1</v>
      </c>
    </row>
    <row r="11" spans="1:10" x14ac:dyDescent="0.35">
      <c r="A11" s="14">
        <v>6</v>
      </c>
      <c r="B11" s="14">
        <v>8300</v>
      </c>
      <c r="C11" s="14">
        <v>3900</v>
      </c>
      <c r="G11" s="40">
        <v>1</v>
      </c>
    </row>
    <row r="12" spans="1:10" x14ac:dyDescent="0.35">
      <c r="A12" s="14">
        <v>7</v>
      </c>
      <c r="B12" s="14">
        <v>6400</v>
      </c>
      <c r="C12" s="14">
        <v>2900</v>
      </c>
      <c r="G12" s="40">
        <v>0</v>
      </c>
    </row>
    <row r="13" spans="1:10" x14ac:dyDescent="0.35">
      <c r="A13" s="14">
        <v>8</v>
      </c>
      <c r="B13" s="14">
        <v>4500</v>
      </c>
      <c r="C13" s="14">
        <v>2400</v>
      </c>
      <c r="G13" s="40">
        <v>1</v>
      </c>
    </row>
    <row r="16" spans="1:10" x14ac:dyDescent="0.35">
      <c r="E16" s="7" t="s">
        <v>35</v>
      </c>
    </row>
    <row r="17" spans="5:10" x14ac:dyDescent="0.35">
      <c r="E17" s="21" t="s">
        <v>39</v>
      </c>
      <c r="G17" t="s">
        <v>58</v>
      </c>
    </row>
    <row r="18" spans="5:10" x14ac:dyDescent="0.35">
      <c r="E18" s="20">
        <v>82000</v>
      </c>
      <c r="G18" s="40">
        <v>1</v>
      </c>
    </row>
    <row r="19" spans="5:10" x14ac:dyDescent="0.35">
      <c r="E19" s="20">
        <v>82000</v>
      </c>
      <c r="G19" s="40">
        <v>1</v>
      </c>
    </row>
    <row r="20" spans="5:10" x14ac:dyDescent="0.35">
      <c r="G20" s="40">
        <v>1</v>
      </c>
      <c r="I20" t="s">
        <v>61</v>
      </c>
      <c r="J20" s="15">
        <f>SUMPRODUCT(G18:G25,B6:B13)</f>
        <v>81100</v>
      </c>
    </row>
    <row r="21" spans="5:10" x14ac:dyDescent="0.35">
      <c r="G21" s="40">
        <v>1</v>
      </c>
      <c r="I21" t="s">
        <v>62</v>
      </c>
      <c r="J21" s="53">
        <f>SUMPRODUCT(G18:G25,C6:C13)</f>
        <v>34400</v>
      </c>
    </row>
    <row r="22" spans="5:10" x14ac:dyDescent="0.35">
      <c r="G22" s="40">
        <v>1</v>
      </c>
    </row>
    <row r="23" spans="5:10" x14ac:dyDescent="0.35">
      <c r="G23" s="40">
        <v>1</v>
      </c>
    </row>
    <row r="24" spans="5:10" x14ac:dyDescent="0.35">
      <c r="G24" s="40">
        <v>0</v>
      </c>
    </row>
    <row r="25" spans="5:10" x14ac:dyDescent="0.35">
      <c r="G25" s="40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tabSelected="1" workbookViewId="0">
      <selection activeCell="H8" sqref="H8"/>
    </sheetView>
  </sheetViews>
  <sheetFormatPr defaultRowHeight="14.5" x14ac:dyDescent="0.35"/>
  <cols>
    <col min="8" max="8" width="13" customWidth="1"/>
    <col min="11" max="11" width="18.1796875" customWidth="1"/>
  </cols>
  <sheetData>
    <row r="1" spans="1:11" s="1" customFormat="1" ht="48" customHeight="1" x14ac:dyDescent="0.35">
      <c r="A1" s="2"/>
      <c r="B1" s="2"/>
      <c r="C1" s="2"/>
      <c r="D1" s="2"/>
      <c r="E1" s="2"/>
      <c r="F1" s="2"/>
      <c r="G1" s="2"/>
      <c r="H1" s="2"/>
    </row>
    <row r="2" spans="1:11" x14ac:dyDescent="0.35">
      <c r="A2" s="11" t="s">
        <v>12</v>
      </c>
    </row>
    <row r="5" spans="1:11" ht="14.4" customHeight="1" x14ac:dyDescent="0.35">
      <c r="A5" s="22"/>
      <c r="B5" s="23"/>
      <c r="C5" s="33" t="s">
        <v>40</v>
      </c>
      <c r="D5" s="33"/>
      <c r="E5" s="33"/>
      <c r="F5" s="34"/>
    </row>
    <row r="6" spans="1:11" ht="14.4" customHeight="1" x14ac:dyDescent="0.35">
      <c r="A6" s="24"/>
      <c r="B6" s="25"/>
      <c r="C6" s="26" t="s">
        <v>41</v>
      </c>
      <c r="D6" s="27" t="s">
        <v>42</v>
      </c>
      <c r="E6" s="27" t="s">
        <v>43</v>
      </c>
      <c r="F6" s="27" t="s">
        <v>44</v>
      </c>
    </row>
    <row r="7" spans="1:11" ht="14.4" customHeight="1" x14ac:dyDescent="0.35">
      <c r="A7" s="35" t="s">
        <v>45</v>
      </c>
      <c r="B7" s="28">
        <v>1</v>
      </c>
      <c r="C7" s="17">
        <v>11</v>
      </c>
      <c r="D7" s="17">
        <v>14</v>
      </c>
      <c r="E7" s="17">
        <v>6</v>
      </c>
      <c r="F7" s="17">
        <v>13</v>
      </c>
    </row>
    <row r="8" spans="1:11" x14ac:dyDescent="0.35">
      <c r="A8" s="35"/>
      <c r="B8" s="27">
        <v>2</v>
      </c>
      <c r="C8" s="17">
        <v>2</v>
      </c>
      <c r="D8" s="17">
        <v>4</v>
      </c>
      <c r="E8" s="17">
        <v>14</v>
      </c>
      <c r="F8" s="17">
        <v>15</v>
      </c>
    </row>
    <row r="9" spans="1:11" x14ac:dyDescent="0.35">
      <c r="A9" s="35"/>
      <c r="B9" s="27">
        <v>3</v>
      </c>
      <c r="C9" s="17">
        <v>9</v>
      </c>
      <c r="D9" s="17">
        <v>13</v>
      </c>
      <c r="E9" s="17">
        <v>17</v>
      </c>
      <c r="F9" s="17">
        <v>12</v>
      </c>
    </row>
    <row r="10" spans="1:11" x14ac:dyDescent="0.35">
      <c r="A10" s="36"/>
      <c r="B10" s="27">
        <v>4</v>
      </c>
      <c r="C10" s="17">
        <v>4</v>
      </c>
      <c r="D10" s="17">
        <v>8</v>
      </c>
      <c r="E10" s="17">
        <v>5</v>
      </c>
      <c r="F10" s="17">
        <v>13</v>
      </c>
    </row>
    <row r="14" spans="1:11" x14ac:dyDescent="0.35">
      <c r="A14" s="22"/>
      <c r="B14" s="23"/>
      <c r="C14" s="33" t="s">
        <v>40</v>
      </c>
      <c r="D14" s="33"/>
      <c r="E14" s="33"/>
      <c r="F14" s="34"/>
    </row>
    <row r="15" spans="1:11" ht="28" x14ac:dyDescent="0.35">
      <c r="A15" s="24"/>
      <c r="B15" s="25"/>
      <c r="C15" s="26" t="s">
        <v>41</v>
      </c>
      <c r="D15" s="27" t="s">
        <v>42</v>
      </c>
      <c r="E15" s="27" t="s">
        <v>43</v>
      </c>
      <c r="F15" s="27" t="s">
        <v>44</v>
      </c>
      <c r="H15" s="56" t="s">
        <v>63</v>
      </c>
      <c r="I15" s="56" t="s">
        <v>64</v>
      </c>
    </row>
    <row r="16" spans="1:11" x14ac:dyDescent="0.35">
      <c r="A16" s="35" t="s">
        <v>45</v>
      </c>
      <c r="B16" s="28">
        <v>1</v>
      </c>
      <c r="C16" s="40">
        <v>1</v>
      </c>
      <c r="D16" s="40">
        <v>0</v>
      </c>
      <c r="E16" s="40">
        <v>0</v>
      </c>
      <c r="F16" s="40">
        <v>0</v>
      </c>
      <c r="G16" s="55">
        <f>SUM(C16:F16)</f>
        <v>1</v>
      </c>
      <c r="H16">
        <f>SUMPRODUCT(C16:F16,C7:F7)</f>
        <v>11</v>
      </c>
      <c r="I16">
        <f>0.15*K17</f>
        <v>4.8</v>
      </c>
      <c r="K16" s="15" t="s">
        <v>46</v>
      </c>
    </row>
    <row r="17" spans="1:11" x14ac:dyDescent="0.35">
      <c r="A17" s="35"/>
      <c r="B17" s="27">
        <v>2</v>
      </c>
      <c r="C17" s="40">
        <v>0</v>
      </c>
      <c r="D17" s="40">
        <v>1</v>
      </c>
      <c r="E17" s="40">
        <v>0</v>
      </c>
      <c r="F17" s="40">
        <v>0</v>
      </c>
      <c r="G17" s="55">
        <f t="shared" ref="G17:G19" si="0">SUM(C17:F17)</f>
        <v>1</v>
      </c>
      <c r="H17">
        <f t="shared" ref="H17:H19" si="1">SUMPRODUCT(C17:F17,C8:F8)</f>
        <v>4</v>
      </c>
      <c r="K17" s="53">
        <f>SUMPRODUCT(C7:F10,C16:F19)</f>
        <v>32</v>
      </c>
    </row>
    <row r="18" spans="1:11" x14ac:dyDescent="0.35">
      <c r="A18" s="35"/>
      <c r="B18" s="27">
        <v>3</v>
      </c>
      <c r="C18" s="40">
        <v>0</v>
      </c>
      <c r="D18" s="40">
        <v>0</v>
      </c>
      <c r="E18" s="40">
        <v>0</v>
      </c>
      <c r="F18" s="40">
        <v>1</v>
      </c>
      <c r="G18" s="55">
        <f t="shared" si="0"/>
        <v>1</v>
      </c>
      <c r="H18">
        <f t="shared" si="1"/>
        <v>12</v>
      </c>
    </row>
    <row r="19" spans="1:11" x14ac:dyDescent="0.35">
      <c r="A19" s="36"/>
      <c r="B19" s="27">
        <v>4</v>
      </c>
      <c r="C19" s="40">
        <v>0</v>
      </c>
      <c r="D19" s="40">
        <v>0</v>
      </c>
      <c r="E19" s="40">
        <v>1</v>
      </c>
      <c r="F19" s="40">
        <v>0</v>
      </c>
      <c r="G19" s="55">
        <f t="shared" si="0"/>
        <v>1</v>
      </c>
      <c r="H19">
        <f t="shared" si="1"/>
        <v>5</v>
      </c>
    </row>
    <row r="20" spans="1:11" x14ac:dyDescent="0.35">
      <c r="C20" s="54">
        <f>SUM(C16:C19)</f>
        <v>1</v>
      </c>
      <c r="D20" s="54">
        <f t="shared" ref="D20:F20" si="2">SUM(D16:D19)</f>
        <v>1</v>
      </c>
      <c r="E20" s="54">
        <f t="shared" si="2"/>
        <v>1</v>
      </c>
      <c r="F20" s="54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Яна Ильина</cp:lastModifiedBy>
  <dcterms:created xsi:type="dcterms:W3CDTF">2025-11-28T21:09:32Z</dcterms:created>
  <dcterms:modified xsi:type="dcterms:W3CDTF">2026-10-19T20:42:06Z</dcterms:modified>
</cp:coreProperties>
</file>